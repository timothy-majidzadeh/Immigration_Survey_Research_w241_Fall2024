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ajidzadeh\Desktop\MIDS Notes\Datasci 241 (Experiments and Causal Inference)\"/>
    </mc:Choice>
  </mc:AlternateContent>
  <xr:revisionPtr revIDLastSave="0" documentId="13_ncr:1_{CAC44570-0030-4C39-9D94-5DC150EFA662}" xr6:coauthVersionLast="47" xr6:coauthVersionMax="47" xr10:uidLastSave="{00000000-0000-0000-0000-000000000000}"/>
  <bookViews>
    <workbookView xWindow="-28800" yWindow="0" windowWidth="14400" windowHeight="15600" xr2:uid="{2B3E1004-5F5E-4512-9381-4C94EEB2B3B3}"/>
  </bookViews>
  <sheets>
    <sheet name="Total" sheetId="1" r:id="rId1"/>
    <sheet name="Male" sheetId="2" r:id="rId2"/>
    <sheet name="Fema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8" i="3"/>
  <c r="J7" i="3"/>
  <c r="J6" i="3"/>
  <c r="J5" i="3"/>
  <c r="J4" i="3"/>
  <c r="J3" i="3"/>
  <c r="J2" i="3"/>
  <c r="J7" i="2"/>
  <c r="J6" i="2"/>
  <c r="J5" i="2"/>
  <c r="J4" i="2"/>
  <c r="J3" i="2"/>
  <c r="J2" i="2"/>
  <c r="J3" i="1"/>
  <c r="J4" i="1"/>
  <c r="J5" i="1"/>
  <c r="J6" i="1"/>
  <c r="J7" i="1"/>
  <c r="J2" i="1"/>
  <c r="J8" i="1"/>
  <c r="B24" i="3"/>
  <c r="B20" i="3"/>
  <c r="B25" i="3" s="1"/>
  <c r="B17" i="3"/>
  <c r="G7" i="3"/>
  <c r="G6" i="3"/>
  <c r="G5" i="3"/>
  <c r="G4" i="3"/>
  <c r="G3" i="3"/>
  <c r="B24" i="2"/>
  <c r="G2" i="2" s="1"/>
  <c r="B20" i="2"/>
  <c r="B25" i="2" s="1"/>
  <c r="B17" i="2"/>
  <c r="G7" i="2"/>
  <c r="G6" i="2"/>
  <c r="G5" i="2"/>
  <c r="G4" i="2"/>
  <c r="G3" i="2"/>
  <c r="B20" i="1"/>
  <c r="B25" i="1" s="1"/>
  <c r="G7" i="1"/>
  <c r="G6" i="1"/>
  <c r="G5" i="1"/>
  <c r="G4" i="1"/>
  <c r="G3" i="1"/>
  <c r="B24" i="1"/>
  <c r="G2" i="1" s="1"/>
  <c r="B17" i="1"/>
  <c r="H5" i="2" l="1"/>
  <c r="G8" i="2"/>
  <c r="H2" i="2" s="1"/>
  <c r="H8" i="2" s="1"/>
  <c r="H3" i="2"/>
  <c r="H4" i="2"/>
  <c r="H6" i="2"/>
  <c r="H7" i="2"/>
  <c r="G2" i="3"/>
  <c r="G8" i="1"/>
  <c r="G8" i="3" l="1"/>
  <c r="H5" i="1"/>
  <c r="H3" i="1"/>
  <c r="H4" i="1"/>
  <c r="H7" i="1"/>
  <c r="H2" i="1"/>
  <c r="H6" i="1"/>
  <c r="H7" i="3" l="1"/>
  <c r="H3" i="3"/>
  <c r="H4" i="3"/>
  <c r="H5" i="3"/>
  <c r="H6" i="3"/>
  <c r="H2" i="3"/>
  <c r="H8" i="3" s="1"/>
  <c r="H8" i="1"/>
</calcChain>
</file>

<file path=xl/sharedStrings.xml><?xml version="1.0" encoding="utf-8"?>
<sst xmlns="http://schemas.openxmlformats.org/spreadsheetml/2006/main" count="96" uniqueCount="32">
  <si>
    <t>        15 to 19 years</t>
  </si>
  <si>
    <t>        20 to 24 years</t>
  </si>
  <si>
    <t>        25 to 29 years</t>
  </si>
  <si>
    <t>        30 to 34 years</t>
  </si>
  <si>
    <t>        35 to 39 years</t>
  </si>
  <si>
    <t>        40 to 44 years</t>
  </si>
  <si>
    <t>        45 to 49 years</t>
  </si>
  <si>
    <t>        50 to 54 years</t>
  </si>
  <si>
    <t>        55 to 59 years</t>
  </si>
  <si>
    <t>        60 to 64 years</t>
  </si>
  <si>
    <t>        65 to 69 years</t>
  </si>
  <si>
    <t>        70 to 74 years</t>
  </si>
  <si>
    <t>        75 to 79 years</t>
  </si>
  <si>
    <t>        80 to 84 years</t>
  </si>
  <si>
    <t>        85 years and over</t>
  </si>
  <si>
    <t>18-24</t>
  </si>
  <si>
    <t>25-34</t>
  </si>
  <si>
    <t>35-44</t>
  </si>
  <si>
    <t>45-54</t>
  </si>
  <si>
    <t>55-64</t>
  </si>
  <si>
    <t>65+</t>
  </si>
  <si>
    <t>Not Disclosed</t>
  </si>
  <si>
    <t>            16 years and over</t>
  </si>
  <si>
    <t>            18 years and over</t>
  </si>
  <si>
    <t>            21 years and over</t>
  </si>
  <si>
    <t>16-18</t>
  </si>
  <si>
    <t>Total</t>
  </si>
  <si>
    <t>15 and over</t>
  </si>
  <si>
    <t>Census Table 1</t>
  </si>
  <si>
    <t>Intermediate Calculations</t>
  </si>
  <si>
    <t>Final Calculations</t>
  </si>
  <si>
    <t>Out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</si>
</sst>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4F65-8ED8-4FA6-AAD1-63A35339F4B1}">
  <dimension ref="A1:J25"/>
  <sheetViews>
    <sheetView tabSelected="1" workbookViewId="0"/>
  </sheetViews>
  <sheetFormatPr defaultRowHeight="15" x14ac:dyDescent="0.25"/>
  <cols>
    <col min="1" max="1" width="24.7109375" customWidth="1"/>
    <col min="2" max="2" width="10" bestFit="1" customWidth="1"/>
    <col min="7" max="7" width="10" bestFit="1" customWidth="1"/>
  </cols>
  <sheetData>
    <row r="1" spans="1:10" x14ac:dyDescent="0.25">
      <c r="A1" t="s">
        <v>28</v>
      </c>
      <c r="F1" t="s">
        <v>30</v>
      </c>
      <c r="J1" t="s">
        <v>31</v>
      </c>
    </row>
    <row r="2" spans="1:10" x14ac:dyDescent="0.25">
      <c r="A2" t="s">
        <v>0</v>
      </c>
      <c r="B2">
        <v>22036076</v>
      </c>
      <c r="C2">
        <v>6.6</v>
      </c>
      <c r="F2" t="s">
        <v>15</v>
      </c>
      <c r="G2">
        <f>B2+B3-B24-B25</f>
        <v>31254763</v>
      </c>
      <c r="H2" s="1">
        <f>G2/$G$8</f>
        <v>0.12098152070771293</v>
      </c>
      <c r="J2" s="1">
        <f>G2/Total!$G$8</f>
        <v>0.12098152070771293</v>
      </c>
    </row>
    <row r="3" spans="1:10" x14ac:dyDescent="0.25">
      <c r="A3" t="s">
        <v>1</v>
      </c>
      <c r="B3">
        <v>22166199</v>
      </c>
      <c r="C3">
        <v>6.7</v>
      </c>
      <c r="F3" t="s">
        <v>16</v>
      </c>
      <c r="G3">
        <f>B4+B5</f>
        <v>44834666</v>
      </c>
      <c r="H3" s="1">
        <f t="shared" ref="H3:H7" si="0">G3/$G$8</f>
        <v>0.17354686302060243</v>
      </c>
      <c r="J3" s="1">
        <f>G3/Total!$G$8</f>
        <v>0.17354686302060243</v>
      </c>
    </row>
    <row r="4" spans="1:10" x14ac:dyDescent="0.25">
      <c r="A4" t="s">
        <v>2</v>
      </c>
      <c r="B4">
        <v>22301254</v>
      </c>
      <c r="C4">
        <v>6.7</v>
      </c>
      <c r="F4" t="s">
        <v>17</v>
      </c>
      <c r="G4">
        <f>B6+B7</f>
        <v>42184137</v>
      </c>
      <c r="H4" s="1">
        <f t="shared" si="0"/>
        <v>0.16328714583446047</v>
      </c>
      <c r="J4" s="1">
        <f>G4/Total!$G$8</f>
        <v>0.16328714583446047</v>
      </c>
    </row>
    <row r="5" spans="1:10" x14ac:dyDescent="0.25">
      <c r="A5" t="s">
        <v>3</v>
      </c>
      <c r="B5">
        <v>22533412</v>
      </c>
      <c r="C5">
        <v>6.8</v>
      </c>
      <c r="F5" t="s">
        <v>18</v>
      </c>
      <c r="G5">
        <f>B8+B9</f>
        <v>40868806</v>
      </c>
      <c r="H5" s="1">
        <f t="shared" si="0"/>
        <v>0.15819573801882619</v>
      </c>
      <c r="J5" s="1">
        <f>G5/Total!$G$8</f>
        <v>0.15819573801882619</v>
      </c>
    </row>
    <row r="6" spans="1:10" x14ac:dyDescent="0.25">
      <c r="A6" t="s">
        <v>4</v>
      </c>
      <c r="B6">
        <v>21874944</v>
      </c>
      <c r="C6">
        <v>6.6</v>
      </c>
      <c r="F6" t="s">
        <v>19</v>
      </c>
      <c r="G6">
        <f>B10+B11</f>
        <v>43408408</v>
      </c>
      <c r="H6" s="1">
        <f t="shared" si="0"/>
        <v>0.16802607690037041</v>
      </c>
      <c r="J6" s="1">
        <f>G6/Total!$G$8</f>
        <v>0.16802607690037041</v>
      </c>
    </row>
    <row r="7" spans="1:10" x14ac:dyDescent="0.25">
      <c r="A7" t="s">
        <v>5</v>
      </c>
      <c r="B7">
        <v>20309193</v>
      </c>
      <c r="C7">
        <v>6.1</v>
      </c>
      <c r="F7" t="s">
        <v>20</v>
      </c>
      <c r="G7">
        <f>SUM(B12:B16)</f>
        <v>55792501</v>
      </c>
      <c r="H7" s="1">
        <f t="shared" si="0"/>
        <v>0.21596265551802757</v>
      </c>
      <c r="J7" s="1">
        <f>G7/Total!$G$8</f>
        <v>0.21596265551802757</v>
      </c>
    </row>
    <row r="8" spans="1:10" x14ac:dyDescent="0.25">
      <c r="A8" t="s">
        <v>6</v>
      </c>
      <c r="B8">
        <v>20145294</v>
      </c>
      <c r="C8">
        <v>6.1</v>
      </c>
      <c r="F8" t="s">
        <v>26</v>
      </c>
      <c r="G8">
        <f>SUM(G2:G7)</f>
        <v>258343281</v>
      </c>
      <c r="H8" s="2">
        <f>SUM(H2:H7)</f>
        <v>1</v>
      </c>
      <c r="J8" s="1">
        <f t="shared" ref="J3:J8" si="1">G8/$G$8</f>
        <v>1</v>
      </c>
    </row>
    <row r="9" spans="1:10" x14ac:dyDescent="0.25">
      <c r="A9" t="s">
        <v>7</v>
      </c>
      <c r="B9">
        <v>20723512</v>
      </c>
      <c r="C9">
        <v>6.3</v>
      </c>
      <c r="F9" t="s">
        <v>21</v>
      </c>
    </row>
    <row r="10" spans="1:10" x14ac:dyDescent="0.25">
      <c r="A10" t="s">
        <v>8</v>
      </c>
      <c r="B10">
        <v>22120489</v>
      </c>
      <c r="C10">
        <v>6.7</v>
      </c>
    </row>
    <row r="11" spans="1:10" x14ac:dyDescent="0.25">
      <c r="A11" t="s">
        <v>9</v>
      </c>
      <c r="B11">
        <v>21287919</v>
      </c>
      <c r="C11">
        <v>6.4</v>
      </c>
    </row>
    <row r="12" spans="1:10" x14ac:dyDescent="0.25">
      <c r="A12" t="s">
        <v>10</v>
      </c>
      <c r="B12">
        <v>18288727</v>
      </c>
      <c r="C12">
        <v>5.5</v>
      </c>
    </row>
    <row r="13" spans="1:10" x14ac:dyDescent="0.25">
      <c r="A13" t="s">
        <v>11</v>
      </c>
      <c r="B13">
        <v>14823238</v>
      </c>
      <c r="C13">
        <v>4.5</v>
      </c>
    </row>
    <row r="14" spans="1:10" x14ac:dyDescent="0.25">
      <c r="A14" t="s">
        <v>12</v>
      </c>
      <c r="B14">
        <v>9955322</v>
      </c>
      <c r="C14">
        <v>3</v>
      </c>
    </row>
    <row r="15" spans="1:10" x14ac:dyDescent="0.25">
      <c r="A15" t="s">
        <v>13</v>
      </c>
      <c r="B15">
        <v>6388779</v>
      </c>
      <c r="C15">
        <v>1.9</v>
      </c>
    </row>
    <row r="16" spans="1:10" x14ac:dyDescent="0.25">
      <c r="A16" t="s">
        <v>14</v>
      </c>
      <c r="B16">
        <v>6336435</v>
      </c>
      <c r="C16">
        <v>1.9</v>
      </c>
    </row>
    <row r="17" spans="1:2" x14ac:dyDescent="0.25">
      <c r="B17">
        <f>SUM(B2:B16)</f>
        <v>271290793</v>
      </c>
    </row>
    <row r="19" spans="1:2" x14ac:dyDescent="0.25">
      <c r="A19" t="s">
        <v>29</v>
      </c>
    </row>
    <row r="20" spans="1:2" x14ac:dyDescent="0.25">
      <c r="A20" t="s">
        <v>27</v>
      </c>
      <c r="B20">
        <f>SUM(B2:B16)</f>
        <v>271290793</v>
      </c>
    </row>
    <row r="21" spans="1:2" x14ac:dyDescent="0.25">
      <c r="A21" t="s">
        <v>22</v>
      </c>
      <c r="B21">
        <v>266968266</v>
      </c>
    </row>
    <row r="22" spans="1:2" x14ac:dyDescent="0.25">
      <c r="A22" t="s">
        <v>23</v>
      </c>
      <c r="B22">
        <v>258343281</v>
      </c>
    </row>
    <row r="23" spans="1:2" x14ac:dyDescent="0.25">
      <c r="A23" t="s">
        <v>24</v>
      </c>
      <c r="B23">
        <v>244532918</v>
      </c>
    </row>
    <row r="24" spans="1:2" x14ac:dyDescent="0.25">
      <c r="A24" t="s">
        <v>25</v>
      </c>
      <c r="B24">
        <f>B21-B22</f>
        <v>8624985</v>
      </c>
    </row>
    <row r="25" spans="1:2" x14ac:dyDescent="0.25">
      <c r="A25">
        <v>15</v>
      </c>
      <c r="B25">
        <f>B20-B21</f>
        <v>4322527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DF8F-B957-4198-9FC8-3E311D319A3C}">
  <dimension ref="A1:J25"/>
  <sheetViews>
    <sheetView workbookViewId="0"/>
  </sheetViews>
  <sheetFormatPr defaultRowHeight="15" x14ac:dyDescent="0.25"/>
  <sheetData>
    <row r="1" spans="1:10" x14ac:dyDescent="0.25">
      <c r="A1" t="s">
        <v>28</v>
      </c>
      <c r="F1" t="s">
        <v>30</v>
      </c>
      <c r="J1" t="s">
        <v>31</v>
      </c>
    </row>
    <row r="2" spans="1:10" x14ac:dyDescent="0.25">
      <c r="A2" t="s">
        <v>0</v>
      </c>
      <c r="B2">
        <v>11241567</v>
      </c>
      <c r="C2">
        <v>6.9</v>
      </c>
      <c r="F2" t="s">
        <v>15</v>
      </c>
      <c r="G2">
        <f>B2+B3-B24-B25</f>
        <v>15869243</v>
      </c>
      <c r="H2" s="1">
        <f>G2/$G$8</f>
        <v>0.12664446039923319</v>
      </c>
      <c r="J2" s="3">
        <f>G2/Total!$G$8</f>
        <v>6.1426962367951039E-2</v>
      </c>
    </row>
    <row r="3" spans="1:10" x14ac:dyDescent="0.25">
      <c r="A3" t="s">
        <v>1</v>
      </c>
      <c r="B3">
        <v>11265350</v>
      </c>
      <c r="C3">
        <v>6.9</v>
      </c>
      <c r="F3" t="s">
        <v>16</v>
      </c>
      <c r="G3">
        <f>B4+B5</f>
        <v>22471341</v>
      </c>
      <c r="H3" s="1">
        <f t="shared" ref="H3:H7" si="0">G3/$G$8</f>
        <v>0.17933248960849393</v>
      </c>
      <c r="J3" s="3">
        <f>G3/Total!$G$8</f>
        <v>8.6982486685999783E-2</v>
      </c>
    </row>
    <row r="4" spans="1:10" x14ac:dyDescent="0.25">
      <c r="A4" t="s">
        <v>2</v>
      </c>
      <c r="B4">
        <v>11229510</v>
      </c>
      <c r="C4">
        <v>6.9</v>
      </c>
      <c r="F4" t="s">
        <v>17</v>
      </c>
      <c r="G4">
        <f>B6+B7</f>
        <v>20885270</v>
      </c>
      <c r="H4" s="1">
        <f t="shared" si="0"/>
        <v>0.16667485332742671</v>
      </c>
      <c r="J4" s="3">
        <f>G4/Total!$G$8</f>
        <v>8.0843093418791104E-2</v>
      </c>
    </row>
    <row r="5" spans="1:10" x14ac:dyDescent="0.25">
      <c r="A5" t="s">
        <v>3</v>
      </c>
      <c r="B5">
        <v>11241831</v>
      </c>
      <c r="C5">
        <v>6.9</v>
      </c>
      <c r="F5" t="s">
        <v>18</v>
      </c>
      <c r="G5">
        <f>B8+B9</f>
        <v>20097428</v>
      </c>
      <c r="H5" s="1">
        <f t="shared" si="0"/>
        <v>0.16038748190272467</v>
      </c>
      <c r="J5" s="3">
        <f>G5/Total!$G$8</f>
        <v>7.7793499882042608E-2</v>
      </c>
    </row>
    <row r="6" spans="1:10" x14ac:dyDescent="0.25">
      <c r="A6" t="s">
        <v>4</v>
      </c>
      <c r="B6">
        <v>10857087</v>
      </c>
      <c r="C6">
        <v>6.7</v>
      </c>
      <c r="F6" t="s">
        <v>19</v>
      </c>
      <c r="G6">
        <f>B10+B11</f>
        <v>20983063</v>
      </c>
      <c r="H6" s="1">
        <f t="shared" si="0"/>
        <v>0.16745529015833427</v>
      </c>
      <c r="J6" s="3">
        <f>G6/Total!$G$8</f>
        <v>8.1221632390741372E-2</v>
      </c>
    </row>
    <row r="7" spans="1:10" x14ac:dyDescent="0.25">
      <c r="A7" t="s">
        <v>5</v>
      </c>
      <c r="B7">
        <v>10028183</v>
      </c>
      <c r="C7">
        <v>6.2</v>
      </c>
      <c r="F7" t="s">
        <v>20</v>
      </c>
      <c r="G7">
        <f>SUM(B12:B16)</f>
        <v>24999120</v>
      </c>
      <c r="H7" s="1">
        <f t="shared" si="0"/>
        <v>0.19950542460378723</v>
      </c>
      <c r="J7" s="3">
        <f>G7/Total!$G$8</f>
        <v>9.6767060878196406E-2</v>
      </c>
    </row>
    <row r="8" spans="1:10" x14ac:dyDescent="0.25">
      <c r="A8" t="s">
        <v>6</v>
      </c>
      <c r="B8">
        <v>9920816</v>
      </c>
      <c r="C8">
        <v>6.1</v>
      </c>
      <c r="F8" t="s">
        <v>26</v>
      </c>
      <c r="G8">
        <f>SUM(G2:G7)</f>
        <v>125305465</v>
      </c>
      <c r="H8" s="2">
        <f>SUM(H2:H7)</f>
        <v>1</v>
      </c>
      <c r="J8" s="3">
        <f>G8/Total!$G$8</f>
        <v>0.48503473562372229</v>
      </c>
    </row>
    <row r="9" spans="1:10" x14ac:dyDescent="0.25">
      <c r="A9" t="s">
        <v>7</v>
      </c>
      <c r="B9">
        <v>10176612</v>
      </c>
      <c r="C9">
        <v>6.3</v>
      </c>
      <c r="F9" t="s">
        <v>21</v>
      </c>
    </row>
    <row r="10" spans="1:10" x14ac:dyDescent="0.25">
      <c r="A10" t="s">
        <v>8</v>
      </c>
      <c r="B10">
        <v>10759761</v>
      </c>
      <c r="C10">
        <v>6.6</v>
      </c>
    </row>
    <row r="11" spans="1:10" x14ac:dyDescent="0.25">
      <c r="A11" t="s">
        <v>9</v>
      </c>
      <c r="B11">
        <v>10223302</v>
      </c>
      <c r="C11">
        <v>6.3</v>
      </c>
    </row>
    <row r="12" spans="1:10" x14ac:dyDescent="0.25">
      <c r="A12" t="s">
        <v>10</v>
      </c>
      <c r="B12">
        <v>8634739</v>
      </c>
      <c r="C12">
        <v>5.3</v>
      </c>
    </row>
    <row r="13" spans="1:10" x14ac:dyDescent="0.25">
      <c r="A13" t="s">
        <v>11</v>
      </c>
      <c r="B13">
        <v>6881732</v>
      </c>
      <c r="C13">
        <v>4.2</v>
      </c>
    </row>
    <row r="14" spans="1:10" x14ac:dyDescent="0.25">
      <c r="A14" t="s">
        <v>12</v>
      </c>
      <c r="B14">
        <v>4475564</v>
      </c>
      <c r="C14">
        <v>2.8</v>
      </c>
    </row>
    <row r="15" spans="1:10" x14ac:dyDescent="0.25">
      <c r="A15" t="s">
        <v>13</v>
      </c>
      <c r="B15">
        <v>2721048</v>
      </c>
      <c r="C15">
        <v>1.7</v>
      </c>
    </row>
    <row r="16" spans="1:10" x14ac:dyDescent="0.25">
      <c r="A16" t="s">
        <v>14</v>
      </c>
      <c r="B16">
        <v>2286037</v>
      </c>
      <c r="C16">
        <v>1.4</v>
      </c>
    </row>
    <row r="17" spans="1:2" x14ac:dyDescent="0.25">
      <c r="B17">
        <f>SUM(B2:B16)</f>
        <v>131943139</v>
      </c>
    </row>
    <row r="19" spans="1:2" x14ac:dyDescent="0.25">
      <c r="A19" t="s">
        <v>29</v>
      </c>
    </row>
    <row r="20" spans="1:2" x14ac:dyDescent="0.25">
      <c r="A20" t="s">
        <v>27</v>
      </c>
      <c r="B20">
        <f>SUM(B2:B16)</f>
        <v>131943139</v>
      </c>
    </row>
    <row r="21" spans="1:2" x14ac:dyDescent="0.25">
      <c r="A21" t="s">
        <v>22</v>
      </c>
      <c r="B21">
        <v>129727148</v>
      </c>
    </row>
    <row r="22" spans="1:2" x14ac:dyDescent="0.25">
      <c r="A22" t="s">
        <v>23</v>
      </c>
      <c r="B22">
        <v>125305465</v>
      </c>
    </row>
    <row r="23" spans="1:2" x14ac:dyDescent="0.25">
      <c r="A23" t="s">
        <v>24</v>
      </c>
      <c r="B23">
        <v>118303538</v>
      </c>
    </row>
    <row r="24" spans="1:2" x14ac:dyDescent="0.25">
      <c r="A24" t="s">
        <v>25</v>
      </c>
      <c r="B24">
        <f>B21-B22</f>
        <v>4421683</v>
      </c>
    </row>
    <row r="25" spans="1:2" x14ac:dyDescent="0.25">
      <c r="A25">
        <v>15</v>
      </c>
      <c r="B25">
        <f>B20-B21</f>
        <v>2215991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E0C8-E760-475A-9823-9165BF51A829}">
  <dimension ref="A1:J25"/>
  <sheetViews>
    <sheetView workbookViewId="0"/>
  </sheetViews>
  <sheetFormatPr defaultRowHeight="15" x14ac:dyDescent="0.25"/>
  <sheetData>
    <row r="1" spans="1:10" x14ac:dyDescent="0.25">
      <c r="A1" t="s">
        <v>28</v>
      </c>
      <c r="F1" t="s">
        <v>30</v>
      </c>
      <c r="J1" t="s">
        <v>31</v>
      </c>
    </row>
    <row r="2" spans="1:10" x14ac:dyDescent="0.25">
      <c r="A2" t="s">
        <v>0</v>
      </c>
      <c r="B2">
        <v>10794509</v>
      </c>
      <c r="C2">
        <v>6.6</v>
      </c>
      <c r="F2" t="s">
        <v>15</v>
      </c>
      <c r="G2">
        <f>B2+B3-B24-B25</f>
        <v>15385520</v>
      </c>
      <c r="H2" s="1">
        <f>G2/$G$8</f>
        <v>0.11564771929208459</v>
      </c>
      <c r="J2" s="3">
        <f>G2/Total!$G$8</f>
        <v>5.9554558339761893E-2</v>
      </c>
    </row>
    <row r="3" spans="1:10" x14ac:dyDescent="0.25">
      <c r="A3" t="s">
        <v>1</v>
      </c>
      <c r="B3">
        <v>10900849</v>
      </c>
      <c r="C3">
        <v>6.7</v>
      </c>
      <c r="F3" t="s">
        <v>16</v>
      </c>
      <c r="G3">
        <f>B4+B5</f>
        <v>22363325</v>
      </c>
      <c r="H3" s="1">
        <f t="shared" ref="H3:H7" si="0">G3/$G$8</f>
        <v>0.16809750544912733</v>
      </c>
      <c r="J3" s="3">
        <f>G3/Total!$G$8</f>
        <v>8.6564376334602636E-2</v>
      </c>
    </row>
    <row r="4" spans="1:10" x14ac:dyDescent="0.25">
      <c r="A4" t="s">
        <v>2</v>
      </c>
      <c r="B4">
        <v>11071744</v>
      </c>
      <c r="C4">
        <v>6.7</v>
      </c>
      <c r="F4" t="s">
        <v>17</v>
      </c>
      <c r="G4">
        <f>B6+B7</f>
        <v>21298867</v>
      </c>
      <c r="H4" s="1">
        <f t="shared" si="0"/>
        <v>0.1600963368189989</v>
      </c>
      <c r="J4" s="3">
        <f>G4/Total!$G$8</f>
        <v>8.2444052415669364E-2</v>
      </c>
    </row>
    <row r="5" spans="1:10" x14ac:dyDescent="0.25">
      <c r="A5" t="s">
        <v>3</v>
      </c>
      <c r="B5">
        <v>11291581</v>
      </c>
      <c r="C5">
        <v>6.8</v>
      </c>
      <c r="F5" t="s">
        <v>18</v>
      </c>
      <c r="G5">
        <f>B8+B9</f>
        <v>20771378</v>
      </c>
      <c r="H5" s="1">
        <f t="shared" si="0"/>
        <v>0.15613138147126529</v>
      </c>
      <c r="J5" s="3">
        <f>G5/Total!$G$8</f>
        <v>8.0402238136783585E-2</v>
      </c>
    </row>
    <row r="6" spans="1:10" x14ac:dyDescent="0.25">
      <c r="A6" t="s">
        <v>4</v>
      </c>
      <c r="B6">
        <v>11017857</v>
      </c>
      <c r="C6">
        <v>6.6</v>
      </c>
      <c r="F6" t="s">
        <v>19</v>
      </c>
      <c r="G6">
        <f>B10+B11</f>
        <v>22425345</v>
      </c>
      <c r="H6" s="1">
        <f t="shared" si="0"/>
        <v>0.16856368868833504</v>
      </c>
      <c r="J6" s="3">
        <f>G6/Total!$G$8</f>
        <v>8.6804444509629028E-2</v>
      </c>
    </row>
    <row r="7" spans="1:10" x14ac:dyDescent="0.25">
      <c r="A7" t="s">
        <v>5</v>
      </c>
      <c r="B7">
        <v>10281010</v>
      </c>
      <c r="C7">
        <v>6.1</v>
      </c>
      <c r="F7" t="s">
        <v>20</v>
      </c>
      <c r="G7">
        <f>SUM(B12:B16)</f>
        <v>30793381</v>
      </c>
      <c r="H7" s="1">
        <f t="shared" si="0"/>
        <v>0.23146336828018885</v>
      </c>
      <c r="J7" s="3">
        <f>G7/Total!$G$8</f>
        <v>0.11919559463983118</v>
      </c>
    </row>
    <row r="8" spans="1:10" x14ac:dyDescent="0.25">
      <c r="A8" t="s">
        <v>6</v>
      </c>
      <c r="B8">
        <v>10224478</v>
      </c>
      <c r="C8">
        <v>6.1</v>
      </c>
      <c r="F8" t="s">
        <v>26</v>
      </c>
      <c r="G8">
        <f>SUM(G2:G7)</f>
        <v>133037816</v>
      </c>
      <c r="H8" s="2">
        <f>SUM(H2:H7)</f>
        <v>1</v>
      </c>
      <c r="J8" s="3">
        <f>G8/Total!$G$8</f>
        <v>0.51496526437627765</v>
      </c>
    </row>
    <row r="9" spans="1:10" x14ac:dyDescent="0.25">
      <c r="A9" t="s">
        <v>7</v>
      </c>
      <c r="B9">
        <v>10546900</v>
      </c>
      <c r="C9">
        <v>6.3</v>
      </c>
      <c r="F9" t="s">
        <v>21</v>
      </c>
    </row>
    <row r="10" spans="1:10" x14ac:dyDescent="0.25">
      <c r="A10" t="s">
        <v>8</v>
      </c>
      <c r="B10">
        <v>11360728</v>
      </c>
      <c r="C10">
        <v>6.7</v>
      </c>
    </row>
    <row r="11" spans="1:10" x14ac:dyDescent="0.25">
      <c r="A11" t="s">
        <v>9</v>
      </c>
      <c r="B11">
        <v>11064617</v>
      </c>
      <c r="C11">
        <v>6.4</v>
      </c>
    </row>
    <row r="12" spans="1:10" x14ac:dyDescent="0.25">
      <c r="A12" t="s">
        <v>10</v>
      </c>
      <c r="B12">
        <v>9653988</v>
      </c>
      <c r="C12">
        <v>5.5</v>
      </c>
    </row>
    <row r="13" spans="1:10" x14ac:dyDescent="0.25">
      <c r="A13" t="s">
        <v>11</v>
      </c>
      <c r="B13">
        <v>7941506</v>
      </c>
      <c r="C13">
        <v>4.5</v>
      </c>
    </row>
    <row r="14" spans="1:10" x14ac:dyDescent="0.25">
      <c r="A14" t="s">
        <v>12</v>
      </c>
      <c r="B14">
        <v>5479758</v>
      </c>
      <c r="C14">
        <v>3</v>
      </c>
    </row>
    <row r="15" spans="1:10" x14ac:dyDescent="0.25">
      <c r="A15" t="s">
        <v>13</v>
      </c>
      <c r="B15">
        <v>3667731</v>
      </c>
      <c r="C15">
        <v>1.9</v>
      </c>
    </row>
    <row r="16" spans="1:10" x14ac:dyDescent="0.25">
      <c r="A16" t="s">
        <v>14</v>
      </c>
      <c r="B16">
        <v>4050398</v>
      </c>
      <c r="C16">
        <v>1.9</v>
      </c>
    </row>
    <row r="17" spans="1:2" x14ac:dyDescent="0.25">
      <c r="B17">
        <f>SUM(B2:B16)</f>
        <v>139347654</v>
      </c>
    </row>
    <row r="19" spans="1:2" x14ac:dyDescent="0.25">
      <c r="A19" t="s">
        <v>29</v>
      </c>
    </row>
    <row r="20" spans="1:2" x14ac:dyDescent="0.25">
      <c r="A20" t="s">
        <v>27</v>
      </c>
      <c r="B20">
        <f>SUM(B2:B16)</f>
        <v>139347654</v>
      </c>
    </row>
    <row r="21" spans="1:2" x14ac:dyDescent="0.25">
      <c r="A21" t="s">
        <v>22</v>
      </c>
      <c r="B21">
        <v>137241118</v>
      </c>
    </row>
    <row r="22" spans="1:2" x14ac:dyDescent="0.25">
      <c r="A22" t="s">
        <v>23</v>
      </c>
      <c r="B22">
        <v>133037816</v>
      </c>
    </row>
    <row r="23" spans="1:2" x14ac:dyDescent="0.25">
      <c r="A23" t="s">
        <v>24</v>
      </c>
      <c r="B23">
        <v>126229380</v>
      </c>
    </row>
    <row r="24" spans="1:2" x14ac:dyDescent="0.25">
      <c r="A24" t="s">
        <v>25</v>
      </c>
      <c r="B24">
        <f>B21-B22</f>
        <v>4203302</v>
      </c>
    </row>
    <row r="25" spans="1:2" x14ac:dyDescent="0.25">
      <c r="A25">
        <v>15</v>
      </c>
      <c r="B25">
        <f>B20-B21</f>
        <v>2106536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fd51a4-5314-4c60-bce6-0affc34d9cd7}" enabled="1" method="Standard" siteId="{4a156c19-bc94-41ac-aacf-9546864908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Male</vt:lpstr>
      <vt:lpstr>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Majidzadeh, Timothy</dc:creator>
  <cp:lastModifiedBy>Majidzadeh, Timothy</cp:lastModifiedBy>
  <dcterms:created xsi:type="dcterms:W3CDTF">2024-12-05T19:47:30Z</dcterms:created>
  <dcterms:modified xsi:type="dcterms:W3CDTF">2024-12-06T01:38:24Z</dcterms:modified>
</cp:coreProperties>
</file>